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e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84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46" customWidth="1" min="3" max="3"/>
    <col width="10" customWidth="1" min="4" max="4"/>
    <col width="14" customWidth="1" min="5" max="5"/>
    <col width="40" customWidth="1" min="6" max="6"/>
    <col width="16" customWidth="1" min="7" max="7"/>
    <col width="16" customWidth="1" min="8" max="8"/>
    <col width="16" customWidth="1" min="9" max="9"/>
  </cols>
  <sheetData>
    <row r="1" ht="34" customHeight="1">
      <c r="A1" s="1" t="inlineStr">
        <is>
          <t>#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Correct page</t>
        </is>
      </c>
      <c r="E1" s="1" t="inlineStr">
        <is>
          <t>Type</t>
        </is>
      </c>
      <c r="F1" s="1" t="inlineStr">
        <is>
          <t>Your app's answer</t>
        </is>
      </c>
      <c r="G1" s="1" t="inlineStr">
        <is>
          <t>Answer correct? (Y/N)</t>
        </is>
      </c>
      <c r="H1" s="1" t="inlineStr">
        <is>
          <t>Cited page correct? (Y/N)</t>
        </is>
      </c>
      <c r="I1" s="1" t="inlineStr">
        <is>
          <t>Refused correctly? (Y/N)</t>
        </is>
      </c>
    </row>
    <row r="2">
      <c r="A2" s="2" t="n">
        <v>1</v>
      </c>
      <c r="B2" s="2" t="inlineStr">
        <is>
          <t>How many people does Northwind Analytics employ?</t>
        </is>
      </c>
      <c r="C2" s="2" t="inlineStr">
        <is>
          <t>420 (as of March 2025)</t>
        </is>
      </c>
      <c r="D2" s="2" t="n">
        <v>1</v>
      </c>
      <c r="E2" s="2" t="inlineStr">
        <is>
          <t>Fact lookup</t>
        </is>
      </c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In which year was the company founded?</t>
        </is>
      </c>
      <c r="C3" s="2" t="inlineStr">
        <is>
          <t>2014</t>
        </is>
      </c>
      <c r="D3" s="2" t="n">
        <v>1</v>
      </c>
      <c r="E3" s="2" t="inlineStr">
        <is>
          <t>Fact lookup</t>
        </is>
      </c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Which days must employees be in the office?</t>
        </is>
      </c>
      <c r="C4" s="2" t="inlineStr">
        <is>
          <t>Tuesday, Wednesday, Thursday</t>
        </is>
      </c>
      <c r="D4" s="2" t="n">
        <v>1</v>
      </c>
      <c r="E4" s="2" t="inlineStr">
        <is>
          <t>Fact lookup</t>
        </is>
      </c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How much is the monthly work-from-home allowance?</t>
        </is>
      </c>
      <c r="C5" s="2" t="inlineStr">
        <is>
          <t>Rs 1,500 per month</t>
        </is>
      </c>
      <c r="D5" s="2" t="n">
        <v>1</v>
      </c>
      <c r="E5" s="2" t="inlineStr">
        <is>
          <t>Fact lookup</t>
        </is>
      </c>
      <c r="F5" s="2" t="inlineStr"/>
      <c r="G5" s="2" t="inlineStr"/>
      <c r="H5" s="2" t="inlineStr"/>
      <c r="I5" s="2" t="inlineStr"/>
    </row>
    <row r="6">
      <c r="A6" s="2" t="n">
        <v>5</v>
      </c>
      <c r="B6" s="2" t="inlineStr">
        <is>
          <t>What are the core collaboration hours?</t>
        </is>
      </c>
      <c r="C6" s="2" t="inlineStr">
        <is>
          <t>10:00 to 16:00</t>
        </is>
      </c>
      <c r="D6" s="2" t="n">
        <v>1</v>
      </c>
      <c r="E6" s="2" t="inlineStr">
        <is>
          <t>Fact lookup</t>
        </is>
      </c>
      <c r="F6" s="2" t="inlineStr"/>
      <c r="G6" s="2" t="inlineStr"/>
      <c r="H6" s="2" t="inlineStr"/>
      <c r="I6" s="2" t="inlineStr"/>
    </row>
    <row r="7">
      <c r="A7" s="2" t="n">
        <v>6</v>
      </c>
      <c r="B7" s="2" t="inlineStr">
        <is>
          <t>How many days of earned leave do employees get each year?</t>
        </is>
      </c>
      <c r="C7" s="2" t="inlineStr">
        <is>
          <t>18 days</t>
        </is>
      </c>
      <c r="D7" s="2" t="n">
        <v>2</v>
      </c>
      <c r="E7" s="2" t="inlineStr">
        <is>
          <t>Fact lookup</t>
        </is>
      </c>
      <c r="F7" s="2" t="inlineStr"/>
      <c r="G7" s="2" t="inlineStr"/>
      <c r="H7" s="2" t="inlineStr"/>
      <c r="I7" s="2" t="inlineStr"/>
    </row>
    <row r="8">
      <c r="A8" s="2" t="n">
        <v>7</v>
      </c>
      <c r="B8" s="2" t="inlineStr">
        <is>
          <t>What is the maximum number of earned leave days that can be carried forward?</t>
        </is>
      </c>
      <c r="C8" s="2" t="inlineStr">
        <is>
          <t>10 days</t>
        </is>
      </c>
      <c r="D8" s="2" t="n">
        <v>2</v>
      </c>
      <c r="E8" s="2" t="inlineStr">
        <is>
          <t>Fact lookup</t>
        </is>
      </c>
      <c r="F8" s="2" t="inlineStr"/>
      <c r="G8" s="2" t="inlineStr"/>
      <c r="H8" s="2" t="inlineStr"/>
      <c r="I8" s="2" t="inlineStr"/>
    </row>
    <row r="9">
      <c r="A9" s="2" t="n">
        <v>8</v>
      </c>
      <c r="B9" s="2" t="inlineStr">
        <is>
          <t>How far in advance must I request leave longer than 3 days?</t>
        </is>
      </c>
      <c r="C9" s="2" t="inlineStr">
        <is>
          <t>At least 5 working days in advance</t>
        </is>
      </c>
      <c r="D9" s="2" t="n">
        <v>2</v>
      </c>
      <c r="E9" s="2" t="inlineStr">
        <is>
          <t>Fact lookup</t>
        </is>
      </c>
      <c r="F9" s="2" t="inlineStr"/>
      <c r="G9" s="2" t="inlineStr"/>
      <c r="H9" s="2" t="inlineStr"/>
      <c r="I9" s="2" t="inlineStr"/>
    </row>
    <row r="10">
      <c r="A10" s="2" t="n">
        <v>9</v>
      </c>
      <c r="B10" s="2" t="inlineStr">
        <is>
          <t>How long is paternity leave and when must it be taken?</t>
        </is>
      </c>
      <c r="C10" s="2" t="inlineStr">
        <is>
          <t>10 working days, within 6 months of the birth or adoption</t>
        </is>
      </c>
      <c r="D10" s="2" t="n">
        <v>2</v>
      </c>
      <c r="E10" s="2" t="inlineStr">
        <is>
          <t>Multi-part</t>
        </is>
      </c>
      <c r="F10" s="2" t="inlineStr"/>
      <c r="G10" s="2" t="inlineStr"/>
      <c r="H10" s="2" t="inlineStr"/>
      <c r="I10" s="2" t="inlineStr"/>
    </row>
    <row r="11">
      <c r="A11" s="2" t="n">
        <v>10</v>
      </c>
      <c r="B11" s="2" t="inlineStr">
        <is>
          <t>What is the deadline for submitting an expense claim?</t>
        </is>
      </c>
      <c r="C11" s="2" t="inlineStr">
        <is>
          <t>Within 30 days of the expense</t>
        </is>
      </c>
      <c r="D11" s="2" t="n">
        <v>3</v>
      </c>
      <c r="E11" s="2" t="inlineStr">
        <is>
          <t>Fact lookup</t>
        </is>
      </c>
      <c r="F11" s="2" t="inlineStr"/>
      <c r="G11" s="2" t="inlineStr"/>
      <c r="H11" s="2" t="inlineStr"/>
      <c r="I11" s="2" t="inlineStr"/>
    </row>
    <row r="12">
      <c r="A12" s="2" t="n">
        <v>11</v>
      </c>
      <c r="B12" s="2" t="inlineStr">
        <is>
          <t>What is the hotel limit per night in Mumbai?</t>
        </is>
      </c>
      <c r="C12" s="2" t="inlineStr">
        <is>
          <t>Up to Rs 7,000 per night (metro city)</t>
        </is>
      </c>
      <c r="D12" s="2" t="n">
        <v>3</v>
      </c>
      <c r="E12" s="2" t="inlineStr">
        <is>
          <t>Reasoning</t>
        </is>
      </c>
      <c r="F12" s="2" t="inlineStr"/>
      <c r="G12" s="2" t="inlineStr"/>
      <c r="H12" s="2" t="inlineStr"/>
      <c r="I12" s="2" t="inlineStr"/>
    </row>
    <row r="13">
      <c r="A13" s="2" t="n">
        <v>12</v>
      </c>
      <c r="B13" s="2" t="inlineStr">
        <is>
          <t>Do I need approval to book a Rs 30,000 expense, and from whom?</t>
        </is>
      </c>
      <c r="C13" s="2" t="inlineStr">
        <is>
          <t>Yes, written approval from the Finance Director before incurring it</t>
        </is>
      </c>
      <c r="D13" s="2" t="n">
        <v>3</v>
      </c>
      <c r="E13" s="2" t="inlineStr">
        <is>
          <t>Reasoning</t>
        </is>
      </c>
      <c r="F13" s="2" t="inlineStr"/>
      <c r="G13" s="2" t="inlineStr"/>
      <c r="H13" s="2" t="inlineStr"/>
      <c r="I13" s="2" t="inlineStr"/>
    </row>
    <row r="14">
      <c r="A14" s="2" t="n">
        <v>13</v>
      </c>
      <c r="B14" s="2" t="inlineStr">
        <is>
          <t>What is the minimum password length and how often must it be changed?</t>
        </is>
      </c>
      <c r="C14" s="2" t="inlineStr">
        <is>
          <t>14 characters; every 90 days</t>
        </is>
      </c>
      <c r="D14" s="2" t="n">
        <v>4</v>
      </c>
      <c r="E14" s="2" t="inlineStr">
        <is>
          <t>Multi-part</t>
        </is>
      </c>
      <c r="F14" s="2" t="inlineStr"/>
      <c r="G14" s="2" t="inlineStr"/>
      <c r="H14" s="2" t="inlineStr"/>
      <c r="I14" s="2" t="inlineStr"/>
    </row>
    <row r="15">
      <c r="A15" s="2" t="n">
        <v>14</v>
      </c>
      <c r="B15" s="2" t="inlineStr">
        <is>
          <t>How quickly must a lost laptop be reported?</t>
        </is>
      </c>
      <c r="C15" s="2" t="inlineStr">
        <is>
          <t>Within 2 hours of discovery</t>
        </is>
      </c>
      <c r="D15" s="2" t="n">
        <v>4</v>
      </c>
      <c r="E15" s="2" t="inlineStr">
        <is>
          <t>Fact lookup</t>
        </is>
      </c>
      <c r="F15" s="2" t="inlineStr"/>
      <c r="G15" s="2" t="inlineStr"/>
      <c r="H15" s="2" t="inlineStr"/>
      <c r="I15" s="2" t="inlineStr"/>
    </row>
    <row r="16">
      <c r="A16" s="2" t="n">
        <v>15</v>
      </c>
      <c r="B16" s="2" t="inlineStr">
        <is>
          <t>Can I email client source code to my personal email?</t>
        </is>
      </c>
      <c r="C16" s="2" t="inlineStr">
        <is>
          <t>No. Restricted data must never be sent to personal email accounts</t>
        </is>
      </c>
      <c r="D16" s="2" t="n">
        <v>4</v>
      </c>
      <c r="E16" s="2" t="inlineStr">
        <is>
          <t>Reasoning</t>
        </is>
      </c>
      <c r="F16" s="2" t="inlineStr"/>
      <c r="G16" s="2" t="inlineStr"/>
      <c r="H16" s="2" t="inlineStr"/>
      <c r="I16" s="2" t="inlineStr"/>
    </row>
    <row r="17">
      <c r="A17" s="2" t="n">
        <v>16</v>
      </c>
      <c r="B17" s="2" t="inlineStr">
        <is>
          <t>How many times a year are performance reviews held, and in which months?</t>
        </is>
      </c>
      <c r="C17" s="2" t="inlineStr">
        <is>
          <t>Twice a year, in April and October</t>
        </is>
      </c>
      <c r="D17" s="2" t="n">
        <v>5</v>
      </c>
      <c r="E17" s="2" t="inlineStr">
        <is>
          <t>Multi-part</t>
        </is>
      </c>
      <c r="F17" s="2" t="inlineStr"/>
      <c r="G17" s="2" t="inlineStr"/>
      <c r="H17" s="2" t="inlineStr"/>
      <c r="I17" s="2" t="inlineStr"/>
    </row>
    <row r="18">
      <c r="A18" s="2" t="n">
        <v>17</v>
      </c>
      <c r="B18" s="2" t="inlineStr">
        <is>
          <t>How much is the yearly learning budget and does unused budget carry over?</t>
        </is>
      </c>
      <c r="C18" s="2" t="inlineStr">
        <is>
          <t>Rs 40,000 per year; it does not carry over</t>
        </is>
      </c>
      <c r="D18" s="2" t="n">
        <v>5</v>
      </c>
      <c r="E18" s="2" t="inlineStr">
        <is>
          <t>Multi-part</t>
        </is>
      </c>
      <c r="F18" s="2" t="inlineStr"/>
      <c r="G18" s="2" t="inlineStr"/>
      <c r="H18" s="2" t="inlineStr"/>
      <c r="I18" s="2" t="inlineStr"/>
    </row>
    <row r="19">
      <c r="A19" s="2" t="n">
        <v>18</v>
      </c>
      <c r="B19" s="2" t="inlineStr">
        <is>
          <t>When is the referral bonus paid?</t>
        </is>
      </c>
      <c r="C19" s="2" t="inlineStr">
        <is>
          <t>After the referred employee completes 6 months of service (Rs 50,000)</t>
        </is>
      </c>
      <c r="D19" s="2" t="n">
        <v>5</v>
      </c>
      <c r="E19" s="2" t="inlineStr">
        <is>
          <t>Fact lookup</t>
        </is>
      </c>
      <c r="F19" s="2" t="inlineStr"/>
      <c r="G19" s="2" t="inlineStr"/>
      <c r="H19" s="2" t="inlineStr"/>
      <c r="I19" s="2" t="inlineStr"/>
    </row>
    <row r="20">
      <c r="A20" s="3" t="n">
        <v>19</v>
      </c>
      <c r="B20" s="3" t="inlineStr">
        <is>
          <t>What is the company's stock option policy?</t>
        </is>
      </c>
      <c r="C20" s="3" t="inlineStr">
        <is>
          <t>NOT IN DOCUMENT: should refuse</t>
        </is>
      </c>
      <c r="D20" s="3" t="inlineStr">
        <is>
          <t>-</t>
        </is>
      </c>
      <c r="E20" s="3" t="inlineStr">
        <is>
          <t>Unanswerable</t>
        </is>
      </c>
      <c r="F20" s="2" t="inlineStr"/>
      <c r="G20" s="2" t="inlineStr"/>
      <c r="H20" s="2" t="inlineStr"/>
      <c r="I20" s="2" t="inlineStr"/>
    </row>
    <row r="21">
      <c r="A21" s="3" t="n">
        <v>20</v>
      </c>
      <c r="B21" s="3" t="inlineStr">
        <is>
          <t>What is the notice period for resigning?</t>
        </is>
      </c>
      <c r="C21" s="3" t="inlineStr">
        <is>
          <t>NOT IN DOCUMENT: should refuse</t>
        </is>
      </c>
      <c r="D21" s="3" t="inlineStr">
        <is>
          <t>-</t>
        </is>
      </c>
      <c r="E21" s="3" t="inlineStr">
        <is>
          <t>Unanswerable</t>
        </is>
      </c>
      <c r="F21" s="2" t="inlineStr"/>
      <c r="G21" s="2" t="inlineStr"/>
      <c r="H21" s="2" t="inlineStr"/>
      <c r="I21" s="2" t="inlineStr"/>
    </row>
    <row r="22">
      <c r="A22" s="3" t="n">
        <v>21</v>
      </c>
      <c r="B22" s="3" t="inlineStr">
        <is>
          <t>Who is the CEO of Northwind Analytics?</t>
        </is>
      </c>
      <c r="C22" s="3" t="inlineStr">
        <is>
          <t>NOT IN DOCUMENT: should refuse</t>
        </is>
      </c>
      <c r="D22" s="3" t="inlineStr">
        <is>
          <t>-</t>
        </is>
      </c>
      <c r="E22" s="3" t="inlineStr">
        <is>
          <t>Unanswerable</t>
        </is>
      </c>
      <c r="F22" s="2" t="inlineStr"/>
      <c r="G22" s="2" t="inlineStr"/>
      <c r="H22" s="2" t="inlineStr"/>
      <c r="I22" s="2" t="inlineStr"/>
    </row>
    <row r="23">
      <c r="A23" s="3" t="n">
        <v>22</v>
      </c>
      <c r="B23" s="3" t="inlineStr">
        <is>
          <t>What is the dress code in the office?</t>
        </is>
      </c>
      <c r="C23" s="3" t="inlineStr">
        <is>
          <t>NOT IN DOCUMENT: should refuse</t>
        </is>
      </c>
      <c r="D23" s="3" t="inlineStr">
        <is>
          <t>-</t>
        </is>
      </c>
      <c r="E23" s="3" t="inlineStr">
        <is>
          <t>Unanswerable</t>
        </is>
      </c>
      <c r="F23" s="2" t="inlineStr"/>
      <c r="G23" s="2" t="inlineStr"/>
      <c r="H23" s="2" t="inlineStr"/>
      <c r="I23" s="2" t="inlineStr"/>
    </row>
  </sheetData>
  <dataValidations count="1">
    <dataValidation sqref="G2:I2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Answerable questions (N)</t>
        </is>
      </c>
      <c r="B2">
        <f>COUNTA('Test Set'!B2:B19)</f>
        <v/>
      </c>
    </row>
    <row r="3">
      <c r="A3" t="inlineStr">
        <is>
          <t>Answer accuracy</t>
        </is>
      </c>
      <c r="B3" s="5">
        <f>COUNTIF('Test Set'!G2:G19,"Y")/COUNTA('Test Set'!B2:B19)</f>
        <v/>
      </c>
    </row>
    <row r="4">
      <c r="A4" t="inlineStr">
        <is>
          <t>Citation accuracy</t>
        </is>
      </c>
      <c r="B4" s="5">
        <f>COUNTIF('Test Set'!H2:H19,"Y")/COUNTA('Test Set'!B2:B19)</f>
        <v/>
      </c>
    </row>
    <row r="5">
      <c r="A5" t="inlineStr">
        <is>
          <t>Unanswerable questions</t>
        </is>
      </c>
      <c r="B5">
        <f>COUNTA('Test Set'!B20:B23)</f>
        <v/>
      </c>
    </row>
    <row r="6">
      <c r="A6" t="inlineStr">
        <is>
          <t>Refusal accuracy</t>
        </is>
      </c>
      <c r="B6" s="5">
        <f>COUNTIF('Test Set'!I20:I23,"Y")/COUNTA('Test Set'!B20:B23)</f>
        <v/>
      </c>
    </row>
    <row r="8">
      <c r="A8" t="inlineStr">
        <is>
          <t>How to use: mark Y/N in columns G and H for rows 2-19, and column I for rows 20-23 (the yellow ones) on the 'Test Set' sheet. These results update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2026-10-07T19:03:24Z</dcterms:created>
  <dcterms:modified xmlns:dcterms="http://purl.org/dc/terms/" xmlns:xsi="http://www.w3.org/2001/XMLSchema-instance" xsi:type="dcterms:W3CDTF">2026-10-07T19:03:31Z</dcterms:modified>
</cp:coreProperties>
</file>